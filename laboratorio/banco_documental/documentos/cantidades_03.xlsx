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Supuestos" sheetId="3" state="visible" r:id="rId3"/>
    <sheet name="Borrador_anterior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Autor Ejemplo</author>
  </authors>
  <commentList>
    <comment ref="C9" authorId="0" shapeId="0">
      <text>
        <t>Pendiente de confirmar con el cliente.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0" customWidth="1" min="4" max="4"/>
    <col width="36" customWidth="1" min="5" max="5"/>
  </cols>
  <sheetData>
    <row r="1">
      <c r="A1" t="inlineStr">
        <is>
          <t>Resumen de cantidades – Proyecto vial Ejemplo (ficticio)</t>
        </is>
      </c>
    </row>
    <row r="3">
      <c r="A3" t="inlineStr">
        <is>
          <t>Código</t>
        </is>
      </c>
      <c r="B3" t="inlineStr">
        <is>
          <t>Actividad</t>
        </is>
      </c>
      <c r="C3" t="inlineStr">
        <is>
          <t>Cantidad</t>
        </is>
      </c>
      <c r="D3" t="inlineStr">
        <is>
          <t>Unidad</t>
        </is>
      </c>
      <c r="E3" t="inlineStr">
        <is>
          <t>Observación</t>
        </is>
      </c>
    </row>
    <row r="4">
      <c r="A4" t="inlineStr">
        <is>
          <t>R-01</t>
        </is>
      </c>
      <c r="B4" t="inlineStr">
        <is>
          <t>Levantamiento topográfico de lotes</t>
        </is>
      </c>
      <c r="C4" s="1">
        <f>Detalle!D8</f>
        <v>33.7</v>
      </c>
      <c r="D4" t="inlineStr">
        <is>
          <t>ha</t>
        </is>
      </c>
      <c r="E4" t="inlineStr">
        <is>
          <t>Suma de los lotes del Detalle</t>
        </is>
      </c>
    </row>
    <row r="5">
      <c r="A5" t="inlineStr">
        <is>
          <t>R-02</t>
        </is>
      </c>
      <c r="B5" t="inlineStr">
        <is>
          <t>Levantamiento de ejes viales</t>
        </is>
      </c>
      <c r="C5" s="2">
        <f>SUM(Detalle!G2:G4)/1000</f>
        <v>3.625</v>
      </c>
      <c r="D5" t="inlineStr">
        <is>
          <t>km</t>
        </is>
      </c>
      <c r="E5" t="inlineStr">
        <is>
          <t>Longitud de tramos en metros / 1000</t>
        </is>
      </c>
    </row>
    <row r="6">
      <c r="A6" t="inlineStr">
        <is>
          <t>R-03</t>
        </is>
      </c>
      <c r="B6" t="inlineStr">
        <is>
          <t>Puntos de control</t>
        </is>
      </c>
      <c r="C6" s="3">
        <f>Supuestos!B2*COUNTA(Detalle!A2:A7)</f>
        <v>24</v>
      </c>
      <c r="D6" t="inlineStr">
        <is>
          <t>puntos</t>
        </is>
      </c>
      <c r="E6" t="inlineStr">
        <is>
          <t>Puntos por lote × lotes</t>
        </is>
      </c>
    </row>
    <row r="7">
      <c r="A7" t="inlineStr">
        <is>
          <t>R-04</t>
        </is>
      </c>
      <c r="B7" t="inlineStr">
        <is>
          <t>Perfiles de eje</t>
        </is>
      </c>
      <c r="C7" s="3">
        <f>COUNTA(Detalle!F2:F4)</f>
        <v>3</v>
      </c>
      <c r="D7" t="inlineStr">
        <is>
          <t>perfiles</t>
        </is>
      </c>
      <c r="E7" t="inlineStr">
        <is>
          <t>Un perfil por tramo</t>
        </is>
      </c>
    </row>
    <row r="9">
      <c r="A9" t="inlineStr">
        <is>
          <t>R-05</t>
        </is>
      </c>
      <c r="B9" t="inlineStr">
        <is>
          <t>Predios intervenidos</t>
        </is>
      </c>
      <c r="C9" t="n">
        <v>7</v>
      </c>
      <c r="D9" t="inlineStr">
        <is>
          <t>lotes</t>
        </is>
      </c>
      <c r="E9" t="inlineStr">
        <is>
          <t>Según la solicitud del cliente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4" customWidth="1" min="5" max="5"/>
    <col width="10" customWidth="1" min="6" max="6"/>
    <col width="14" customWidth="1" min="7" max="7"/>
  </cols>
  <sheetData>
    <row r="1">
      <c r="A1" t="inlineStr">
        <is>
          <t>Lote</t>
        </is>
      </c>
      <c r="B1" t="inlineStr">
        <is>
          <t>Vereda</t>
        </is>
      </c>
      <c r="C1" t="inlineStr">
        <is>
          <t>Área (m2)</t>
        </is>
      </c>
      <c r="D1" t="inlineStr">
        <is>
          <t>Área (ha)</t>
        </is>
      </c>
      <c r="F1" t="inlineStr">
        <is>
          <t>Tramo</t>
        </is>
      </c>
      <c r="G1" t="inlineStr">
        <is>
          <t>Longitud (m)</t>
        </is>
      </c>
    </row>
    <row r="2">
      <c r="A2" t="inlineStr">
        <is>
          <t>L-01</t>
        </is>
      </c>
      <c r="B2" t="inlineStr">
        <is>
          <t>La Esperanza</t>
        </is>
      </c>
      <c r="C2" t="n">
        <v>48250</v>
      </c>
      <c r="D2" s="2">
        <f>C2/10000</f>
        <v>4.825</v>
      </c>
      <c r="F2" t="inlineStr">
        <is>
          <t>V-01</t>
        </is>
      </c>
      <c r="G2" t="n">
        <v>1240</v>
      </c>
    </row>
    <row r="3">
      <c r="A3" t="inlineStr">
        <is>
          <t>L-02</t>
        </is>
      </c>
      <c r="B3" t="inlineStr">
        <is>
          <t>La Esperanza</t>
        </is>
      </c>
      <c r="C3" t="n">
        <v>61800</v>
      </c>
      <c r="D3" s="2">
        <f>C3/10000</f>
        <v>6.18</v>
      </c>
      <c r="F3" t="inlineStr">
        <is>
          <t>V-02</t>
        </is>
      </c>
      <c r="G3" t="n">
        <v>865</v>
      </c>
    </row>
    <row r="4">
      <c r="A4" t="inlineStr">
        <is>
          <t>L-03</t>
        </is>
      </c>
      <c r="B4" t="inlineStr">
        <is>
          <t>El Mirador</t>
        </is>
      </c>
      <c r="C4" t="n">
        <v>37400</v>
      </c>
      <c r="D4" s="2">
        <f>C4/10000</f>
        <v>3.74</v>
      </c>
      <c r="F4" t="inlineStr">
        <is>
          <t>V-03</t>
        </is>
      </c>
      <c r="G4" t="n">
        <v>1520</v>
      </c>
    </row>
    <row r="5">
      <c r="A5" t="inlineStr">
        <is>
          <t>L-04</t>
        </is>
      </c>
      <c r="B5" t="inlineStr">
        <is>
          <t>El Mirador</t>
        </is>
      </c>
      <c r="C5" t="n">
        <v>55120</v>
      </c>
      <c r="D5" s="2">
        <f>C5/10000</f>
        <v>5.512</v>
      </c>
    </row>
    <row r="6">
      <c r="A6" t="inlineStr">
        <is>
          <t>L-05</t>
        </is>
      </c>
      <c r="B6" t="inlineStr">
        <is>
          <t>La Esperanza</t>
        </is>
      </c>
      <c r="C6" t="n">
        <v>72930</v>
      </c>
      <c r="D6" s="2">
        <f>C6/10000</f>
        <v>7.293</v>
      </c>
    </row>
    <row r="7">
      <c r="A7" t="inlineStr">
        <is>
          <t>L-06</t>
        </is>
      </c>
      <c r="B7" t="inlineStr">
        <is>
          <t>El Mirador</t>
        </is>
      </c>
      <c r="C7" t="n">
        <v>61500</v>
      </c>
      <c r="D7" s="2">
        <f>C7/10000</f>
        <v>6.15</v>
      </c>
    </row>
    <row r="8">
      <c r="A8" t="inlineStr">
        <is>
          <t>Total</t>
        </is>
      </c>
      <c r="C8">
        <f>SUM(C2:C7)</f>
        <v>337000</v>
      </c>
      <c r="D8" s="2">
        <f>SUM(D2:D7)</f>
        <v>33.7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t="inlineStr">
        <is>
          <t>Parámetro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Puntos de control por lote</t>
        </is>
      </c>
      <c r="B2" t="n">
        <v>4</v>
      </c>
      <c r="C2" t="inlineStr">
        <is>
          <t>puntos</t>
        </is>
      </c>
    </row>
    <row r="3">
      <c r="A3" t="inlineStr">
        <is>
          <t>Equidistancia de curvas</t>
        </is>
      </c>
      <c r="B3" t="n">
        <v>0.5</v>
      </c>
      <c r="C3" t="inlineStr">
        <is>
          <t>m</t>
        </is>
      </c>
    </row>
    <row r="4">
      <c r="A4" t="inlineStr">
        <is>
          <t>Precisión horizontal</t>
        </is>
      </c>
      <c r="B4" t="n">
        <v>0.02</v>
      </c>
      <c r="C4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0" customWidth="1" min="4" max="4"/>
  </cols>
  <sheetData>
    <row r="1">
      <c r="A1" t="inlineStr">
        <is>
          <t>Código</t>
        </is>
      </c>
      <c r="B1" t="inlineStr">
        <is>
          <t>Actividad</t>
        </is>
      </c>
      <c r="C1" t="inlineStr">
        <is>
          <t>Cantidad</t>
        </is>
      </c>
      <c r="D1" t="inlineStr">
        <is>
          <t>Unidad</t>
        </is>
      </c>
    </row>
    <row r="2">
      <c r="A2" t="inlineStr">
        <is>
          <t>R-01</t>
        </is>
      </c>
      <c r="B2" t="inlineStr">
        <is>
          <t>Levantamiento topográfico de lotes</t>
        </is>
      </c>
      <c r="C2" t="n">
        <v>31.2</v>
      </c>
      <c r="D2" t="inlineStr">
        <is>
          <t>ha</t>
        </is>
      </c>
    </row>
    <row r="3">
      <c r="A3" t="inlineStr">
        <is>
          <t>R-02</t>
        </is>
      </c>
      <c r="B3" t="inlineStr">
        <is>
          <t>Levantamiento de ejes viales</t>
        </is>
      </c>
      <c r="C3" t="n">
        <v>3.1</v>
      </c>
      <c r="D3" t="inlineStr">
        <is>
          <t>km</t>
        </is>
      </c>
    </row>
    <row r="4">
      <c r="A4" t="inlineStr">
        <is>
          <t>R-03</t>
        </is>
      </c>
      <c r="B4" t="inlineStr">
        <is>
          <t>Puntos de control</t>
        </is>
      </c>
      <c r="C4" t="n">
        <v>20</v>
      </c>
      <c r="D4" t="inlineStr">
        <is>
          <t>puntos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Autor Ejemplo</dc:creator>
  <dcterms:created xsi:type="dcterms:W3CDTF">2026-11-12T08:00:00Z</dcterms:created>
  <dcterms:modified xsi:type="dcterms:W3CDTF">2026-11-12T08:00:00Z</dcterms:modified>
  <cp:lastModifiedBy>Autor Ejemplo</cp:lastModifiedBy>
</cp:coreProperties>
</file>